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5f09178ac059b/Documents/"/>
    </mc:Choice>
  </mc:AlternateContent>
  <xr:revisionPtr revIDLastSave="75" documentId="8_{3076AAED-2C38-4138-AD2C-B0F7CF7C4014}" xr6:coauthVersionLast="47" xr6:coauthVersionMax="47" xr10:uidLastSave="{62FAD0FD-CC3F-4898-B6F3-007DCA2B3C99}"/>
  <bookViews>
    <workbookView xWindow="-108" yWindow="-108" windowWidth="23256" windowHeight="12456" xr2:uid="{065C9D10-237B-4866-9614-510CBA5EE661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2" l="1"/>
  <c r="G8" i="2"/>
  <c r="E8" i="2"/>
  <c r="F8" i="2" s="1"/>
  <c r="D8" i="2"/>
  <c r="H7" i="2"/>
  <c r="G7" i="2"/>
  <c r="E7" i="2"/>
  <c r="F7" i="2" s="1"/>
  <c r="D7" i="2"/>
  <c r="H6" i="2"/>
  <c r="G6" i="2"/>
  <c r="E6" i="2"/>
  <c r="F6" i="2" s="1"/>
  <c r="D6" i="2"/>
  <c r="H5" i="2"/>
  <c r="G5" i="2"/>
  <c r="E5" i="2"/>
  <c r="F5" i="2" s="1"/>
  <c r="D5" i="2"/>
  <c r="H4" i="2"/>
  <c r="G4" i="2"/>
  <c r="E4" i="2"/>
  <c r="F4" i="2" s="1"/>
  <c r="D4" i="2"/>
  <c r="H3" i="2"/>
  <c r="G3" i="2"/>
  <c r="E3" i="2"/>
  <c r="F3" i="2" s="1"/>
  <c r="M3" i="2" s="1"/>
  <c r="D3" i="2"/>
  <c r="E7" i="1"/>
  <c r="E8" i="1"/>
  <c r="D8" i="1"/>
  <c r="D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<sst xmlns="http://schemas.openxmlformats.org/spreadsheetml/2006/main" count="30" uniqueCount="28">
  <si>
    <t>Product ID</t>
  </si>
  <si>
    <t>Product</t>
  </si>
  <si>
    <t>Price</t>
  </si>
  <si>
    <t>Product A</t>
  </si>
  <si>
    <t xml:space="preserve"> Product B</t>
  </si>
  <si>
    <t xml:space="preserve"> Product C</t>
  </si>
  <si>
    <t>Product D</t>
  </si>
  <si>
    <t>Product E</t>
  </si>
  <si>
    <t>Product F</t>
  </si>
  <si>
    <t>Orser Id</t>
  </si>
  <si>
    <t>Quantity</t>
  </si>
  <si>
    <t>Product Name</t>
  </si>
  <si>
    <t>Total Price</t>
  </si>
  <si>
    <t>Check</t>
  </si>
  <si>
    <t>Discount Price</t>
  </si>
  <si>
    <t>Maximum order Value</t>
  </si>
  <si>
    <t>Order  Status</t>
  </si>
  <si>
    <t>Total Quantity Sold</t>
  </si>
  <si>
    <t>Product Sheet</t>
  </si>
  <si>
    <t>Order Sheet</t>
  </si>
  <si>
    <t xml:space="preserve">Use VLOOKUP to find the product names for each ProductID in the Orders worksheet. </t>
  </si>
  <si>
    <t xml:space="preserve">Use VLOOKUP to find the price for each ProductID in the Orders worksheet, then calculate the TotalPrice by multiplying the Quantity by the Product Price. </t>
  </si>
  <si>
    <t xml:space="preserve">Use VLOOKUP to check if there are any ProductIDs in the Orders worksheet that do not exist in the Products worksheet. </t>
  </si>
  <si>
    <t xml:space="preserve">Assume a discount of 10% is given on all products. Use VLOOKUP to find the original price and then calculate the discounted price. </t>
  </si>
  <si>
    <t xml:space="preserve">Use VLOOKUP to find the price for each ProductID and then calculate the order value. Find the maximum order value from the list. </t>
  </si>
  <si>
    <t xml:space="preserve"> Use VLOOKUP to find out which products from the Products worksheet have not been ordered. </t>
  </si>
  <si>
    <t xml:space="preserve"> Use VLOOKUP to find the Product name and summarize the total quantity sold for each product. 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</si>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</sst>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4" fillId="9" borderId="1" xfId="0" applyFont="1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8794-4FCA-46E8-A9CA-20AEE6099D10}">
  <dimension ref="A1:U9"/>
  <sheetViews>
    <sheetView tabSelected="1" workbookViewId="0">
      <selection activeCell="L10" sqref="L10"/>
    </sheetView>
  </sheetViews>
  <sheetFormatPr defaultRowHeight="14.4" x14ac:dyDescent="0.3"/>
  <cols>
    <col min="4" max="4" width="11.33203125" bestFit="1" customWidth="1"/>
    <col min="5" max="5" width="15.77734375" bestFit="1" customWidth="1"/>
  </cols>
  <sheetData>
    <row r="1" spans="1:21" ht="23.4" x14ac:dyDescent="0.45">
      <c r="A1" s="3" t="s">
        <v>18</v>
      </c>
      <c r="B1" s="3"/>
      <c r="C1" s="3"/>
      <c r="D1" s="3"/>
      <c r="E1" s="3"/>
    </row>
    <row r="2" spans="1:21" ht="18" x14ac:dyDescent="0.35">
      <c r="A2" s="4" t="s">
        <v>0</v>
      </c>
      <c r="B2" s="4" t="s">
        <v>1</v>
      </c>
      <c r="C2" s="4" t="s">
        <v>2</v>
      </c>
      <c r="D2" s="4" t="s">
        <v>16</v>
      </c>
      <c r="E2" s="4" t="s">
        <v>17</v>
      </c>
      <c r="G2" s="10" t="s">
        <v>27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3">
      <c r="A3" s="5">
        <v>101</v>
      </c>
      <c r="B3" s="5" t="s">
        <v>3</v>
      </c>
      <c r="C3" s="5">
        <v>120</v>
      </c>
      <c r="D3" s="5" t="str">
        <f>IF(ISNA(VLOOKUP(A3,orders!B:B,1,FALSE)),"Not Ordered","Ordered")</f>
        <v>Ordered</v>
      </c>
      <c r="E3" s="5">
        <f>SUMIF(orders!B:B,A3,orders!C:C)</f>
        <v>2</v>
      </c>
      <c r="G3" s="11">
        <v>1</v>
      </c>
      <c r="H3" s="12" t="s">
        <v>20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3">
      <c r="A4" s="5">
        <v>102</v>
      </c>
      <c r="B4" s="5" t="s">
        <v>4</v>
      </c>
      <c r="C4" s="5">
        <v>150</v>
      </c>
      <c r="D4" s="5" t="str">
        <f>IF(ISNA(VLOOKUP(A4,orders!B:B,1,FALSE)),"Not Ordered","Ordered")</f>
        <v>Ordered</v>
      </c>
      <c r="E4" s="5">
        <f>SUMIF(orders!B:B,A4,orders!C:C)</f>
        <v>5</v>
      </c>
      <c r="F4" s="2"/>
      <c r="G4" s="11">
        <v>2</v>
      </c>
      <c r="H4" s="12" t="s">
        <v>21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3">
      <c r="A5" s="5">
        <v>103</v>
      </c>
      <c r="B5" s="5" t="s">
        <v>5</v>
      </c>
      <c r="C5" s="5">
        <v>200</v>
      </c>
      <c r="D5" s="5" t="str">
        <f>IF(ISNA(VLOOKUP(A5,orders!B:B,1,FALSE)),"Not Ordered","Ordered")</f>
        <v>Ordered</v>
      </c>
      <c r="E5" s="5">
        <f>SUMIF(orders!B:B,A5,orders!C:C)</f>
        <v>1</v>
      </c>
      <c r="G5" s="11">
        <v>3</v>
      </c>
      <c r="H5" s="12" t="s">
        <v>22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3">
      <c r="A6" s="5">
        <v>104</v>
      </c>
      <c r="B6" s="5" t="s">
        <v>6</v>
      </c>
      <c r="C6" s="5">
        <v>90</v>
      </c>
      <c r="D6" s="5" t="str">
        <f>IF(ISNA(VLOOKUP(A6,orders!B:B,1,FALSE)),"Not Ordered","Ordered")</f>
        <v>Ordered</v>
      </c>
      <c r="E6" s="5">
        <f>SUMIF(orders!B:B,A6,orders!C:C)</f>
        <v>6</v>
      </c>
      <c r="G6" s="11">
        <v>4</v>
      </c>
      <c r="H6" s="12" t="s">
        <v>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3">
      <c r="A7" s="5">
        <v>105</v>
      </c>
      <c r="B7" s="5" t="s">
        <v>7</v>
      </c>
      <c r="C7" s="5">
        <v>220</v>
      </c>
      <c r="D7" s="5" t="str">
        <f>IF(ISNA(VLOOKUP(A7,orders!B:B,1,FALSE)),"Not Ordered","Ordered")</f>
        <v>Ordered</v>
      </c>
      <c r="E7" s="5">
        <f>SUMIF(orders!B:B,A7,orders!C:C)</f>
        <v>4</v>
      </c>
      <c r="G7" s="11">
        <v>5</v>
      </c>
      <c r="H7" s="12" t="s">
        <v>24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3">
      <c r="A8" s="5">
        <v>106</v>
      </c>
      <c r="B8" s="5" t="s">
        <v>8</v>
      </c>
      <c r="C8" s="5">
        <v>130</v>
      </c>
      <c r="D8" s="5" t="str">
        <f>IF(ISNA(VLOOKUP(A8,orders!B:B,1,FALSE)),"Not Ordered","Ordered")</f>
        <v>Ordered</v>
      </c>
      <c r="E8" s="5">
        <f>SUMIF(orders!B:B,A8,orders!C:C)</f>
        <v>3</v>
      </c>
      <c r="G8" s="11">
        <v>6</v>
      </c>
      <c r="H8" s="12" t="s">
        <v>25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3">
      <c r="G9" s="11">
        <v>7</v>
      </c>
      <c r="H9" s="12" t="s">
        <v>26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</sheetData>
  <mergeCells count="9">
    <mergeCell ref="H9:U9"/>
    <mergeCell ref="H3:U3"/>
    <mergeCell ref="G2:U2"/>
    <mergeCell ref="A1:E1"/>
    <mergeCell ref="H4:U4"/>
    <mergeCell ref="H5:U5"/>
    <mergeCell ref="H6:U6"/>
    <mergeCell ref="H7:U7"/>
    <mergeCell ref="H8:U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1681-9C62-47A6-A3FC-8C382470D902}">
  <dimension ref="A1:M8"/>
  <sheetViews>
    <sheetView workbookViewId="0">
      <selection activeCell="I7" sqref="I7"/>
    </sheetView>
  </sheetViews>
  <sheetFormatPr defaultRowHeight="14.4" x14ac:dyDescent="0.3"/>
  <cols>
    <col min="4" max="4" width="12.88671875" bestFit="1" customWidth="1"/>
    <col min="6" max="6" width="9.77734375" bestFit="1" customWidth="1"/>
    <col min="8" max="8" width="13.109375" bestFit="1" customWidth="1"/>
  </cols>
  <sheetData>
    <row r="1" spans="1:13" ht="21" x14ac:dyDescent="0.4">
      <c r="A1" s="6" t="s">
        <v>19</v>
      </c>
      <c r="B1" s="6"/>
      <c r="C1" s="6"/>
      <c r="D1" s="6"/>
      <c r="E1" s="6"/>
      <c r="F1" s="6"/>
      <c r="G1" s="6"/>
      <c r="H1" s="6"/>
    </row>
    <row r="2" spans="1:13" x14ac:dyDescent="0.3">
      <c r="A2" s="7" t="s">
        <v>9</v>
      </c>
      <c r="B2" s="7" t="s">
        <v>0</v>
      </c>
      <c r="C2" s="7" t="s">
        <v>10</v>
      </c>
      <c r="D2" s="7" t="s">
        <v>11</v>
      </c>
      <c r="E2" s="7" t="s">
        <v>2</v>
      </c>
      <c r="F2" s="7" t="s">
        <v>12</v>
      </c>
      <c r="G2" s="7" t="s">
        <v>13</v>
      </c>
      <c r="H2" s="7" t="s">
        <v>14</v>
      </c>
    </row>
    <row r="3" spans="1:13" x14ac:dyDescent="0.3">
      <c r="A3" s="8">
        <v>1</v>
      </c>
      <c r="B3" s="8">
        <v>101</v>
      </c>
      <c r="C3" s="8">
        <v>2</v>
      </c>
      <c r="D3" s="9" t="str">
        <f>VLOOKUP(B3,Products!A:C,2,FALSE)</f>
        <v>Product A</v>
      </c>
      <c r="E3" s="9">
        <f>VLOOKUP(B3,Products!A:C,3,FALSE)</f>
        <v>120</v>
      </c>
      <c r="F3" s="9">
        <f>C3*E3</f>
        <v>240</v>
      </c>
      <c r="G3" s="9" t="str">
        <f>IF(ISNA(VLOOKUP(B3,Products!A:A,1,FALSE)),"Not Exists","Exists")</f>
        <v>Exists</v>
      </c>
      <c r="H3" s="9">
        <f>VLOOKUP(B3,Products!A:C,3,FALSE)*90%</f>
        <v>108</v>
      </c>
      <c r="J3" s="1" t="s">
        <v>15</v>
      </c>
      <c r="K3" s="1"/>
      <c r="L3" s="1"/>
      <c r="M3">
        <f>MAX(F3:F8)</f>
        <v>880</v>
      </c>
    </row>
    <row r="4" spans="1:13" x14ac:dyDescent="0.3">
      <c r="A4" s="8">
        <v>2</v>
      </c>
      <c r="B4" s="8">
        <v>103</v>
      </c>
      <c r="C4" s="8">
        <v>1</v>
      </c>
      <c r="D4" s="9" t="str">
        <f>VLOOKUP(B4,Products!A:C,2,FALSE)</f>
        <v xml:space="preserve"> Product C</v>
      </c>
      <c r="E4" s="9">
        <f>VLOOKUP(B4,Products!A:C,3,FALSE)</f>
        <v>200</v>
      </c>
      <c r="F4" s="9">
        <f t="shared" ref="F4:F8" si="0">C4*E4</f>
        <v>200</v>
      </c>
      <c r="G4" s="9" t="str">
        <f>IF(ISNA(VLOOKUP(B4,Products!A:A,1,FALSE)),"Not Exists","Exists")</f>
        <v>Exists</v>
      </c>
      <c r="H4" s="9">
        <f>VLOOKUP(B4,Products!A:C,3,FALSE)*90%</f>
        <v>180</v>
      </c>
    </row>
    <row r="5" spans="1:13" x14ac:dyDescent="0.3">
      <c r="A5" s="8">
        <v>3</v>
      </c>
      <c r="B5" s="8">
        <v>105</v>
      </c>
      <c r="C5" s="8">
        <v>4</v>
      </c>
      <c r="D5" s="9" t="str">
        <f>VLOOKUP(B5,Products!A:C,2,FALSE)</f>
        <v>Product E</v>
      </c>
      <c r="E5" s="9">
        <f>VLOOKUP(B5,Products!A:C,3,FALSE)</f>
        <v>220</v>
      </c>
      <c r="F5" s="9">
        <f t="shared" si="0"/>
        <v>880</v>
      </c>
      <c r="G5" s="9" t="str">
        <f>IF(ISNA(VLOOKUP(B5,Products!A:A,1,FALSE)),"Not Exists","Exists")</f>
        <v>Exists</v>
      </c>
      <c r="H5" s="9">
        <f>VLOOKUP(B5,Products!A:C,3,FALSE)*90%</f>
        <v>198</v>
      </c>
    </row>
    <row r="6" spans="1:13" x14ac:dyDescent="0.3">
      <c r="A6" s="8">
        <v>4</v>
      </c>
      <c r="B6" s="8">
        <v>106</v>
      </c>
      <c r="C6" s="8">
        <v>3</v>
      </c>
      <c r="D6" s="9" t="str">
        <f>VLOOKUP(B6,Products!A:C,2,FALSE)</f>
        <v>Product F</v>
      </c>
      <c r="E6" s="9">
        <f>VLOOKUP(B6,Products!A:C,3,FALSE)</f>
        <v>130</v>
      </c>
      <c r="F6" s="9">
        <f t="shared" si="0"/>
        <v>390</v>
      </c>
      <c r="G6" s="9" t="str">
        <f>IF(ISNA(VLOOKUP(B6,Products!A:A,1,FALSE)),"Not Exists","Exists")</f>
        <v>Exists</v>
      </c>
      <c r="H6" s="9">
        <f>VLOOKUP(B6,Products!A:C,3,FALSE)*90%</f>
        <v>117</v>
      </c>
    </row>
    <row r="7" spans="1:13" x14ac:dyDescent="0.3">
      <c r="A7" s="8">
        <v>5</v>
      </c>
      <c r="B7" s="8">
        <v>102</v>
      </c>
      <c r="C7" s="8">
        <v>5</v>
      </c>
      <c r="D7" s="9" t="str">
        <f>VLOOKUP(B7,Products!A:C,2,FALSE)</f>
        <v xml:space="preserve"> Product B</v>
      </c>
      <c r="E7" s="9">
        <f>VLOOKUP(B7,Products!A:C,3,FALSE)</f>
        <v>150</v>
      </c>
      <c r="F7" s="9">
        <f t="shared" si="0"/>
        <v>750</v>
      </c>
      <c r="G7" s="9" t="str">
        <f>IF(ISNA(VLOOKUP(B7,Products!A:A,1,FALSE)),"Not Exists","Exists")</f>
        <v>Exists</v>
      </c>
      <c r="H7" s="9">
        <f>VLOOKUP(B7,Products!A:C,3,FALSE)*90%</f>
        <v>135</v>
      </c>
    </row>
    <row r="8" spans="1:13" x14ac:dyDescent="0.3">
      <c r="A8" s="8">
        <v>6</v>
      </c>
      <c r="B8" s="8">
        <v>104</v>
      </c>
      <c r="C8" s="8">
        <v>6</v>
      </c>
      <c r="D8" s="9" t="str">
        <f>VLOOKUP(B8,Products!A:C,2,FALSE)</f>
        <v>Product D</v>
      </c>
      <c r="E8" s="9">
        <f>VLOOKUP(B8,Products!A:C,3,FALSE)</f>
        <v>90</v>
      </c>
      <c r="F8" s="9">
        <f t="shared" si="0"/>
        <v>540</v>
      </c>
      <c r="G8" s="9" t="str">
        <f>IF(ISNA(VLOOKUP(B8,Products!A:A,1,FALSE)),"Not Exists","Exists")</f>
        <v>Exists</v>
      </c>
      <c r="H8" s="9">
        <f>VLOOKUP(B8,Products!A:C,3,FALSE)*90%</f>
        <v>81</v>
      </c>
    </row>
  </sheetData>
  <mergeCells count="2">
    <mergeCell ref="J3:L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2026-08-07T09:56:45Z</dcterms:created>
  <dcterms:modified xsi:type="dcterms:W3CDTF">2026-08-11T16:36:51Z</dcterms:modified>
</cp:coreProperties>
</file>